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jbohn\"/>
    </mc:Choice>
  </mc:AlternateContent>
  <xr:revisionPtr revIDLastSave="0" documentId="8_{780EEE59-1AAB-41D8-823A-D8AEB9395446}" xr6:coauthVersionLast="47" xr6:coauthVersionMax="47" xr10:uidLastSave="{00000000-0000-0000-0000-000000000000}"/>
  <bookViews>
    <workbookView xWindow="28695" yWindow="0" windowWidth="29010" windowHeight="23385" xr2:uid="{E6CEE44D-9265-48B1-831B-B976ECABA42E}"/>
  </bookViews>
  <sheets>
    <sheet name="weird formulas and su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2" i="1" s="1"/>
  <c r="B19" i="1"/>
  <c r="G22" i="1" l="1"/>
  <c r="F22" i="1"/>
  <c r="B24" i="1"/>
  <c r="B21" i="1"/>
  <c r="B23" i="1" l="1"/>
  <c r="G21" i="1"/>
  <c r="F21" i="1"/>
  <c r="B25" i="1"/>
  <c r="G24" i="1"/>
  <c r="F24" i="1"/>
  <c r="G25" i="1" l="1"/>
  <c r="F25" i="1"/>
  <c r="G23" i="1"/>
  <c r="F23" i="1"/>
</calcChain>
</file>

<file path=xl/sharedStrings.xml><?xml version="1.0" encoding="utf-8"?>
<sst xmlns="http://schemas.openxmlformats.org/spreadsheetml/2006/main" count="12" uniqueCount="12">
  <si>
    <t>Date</t>
  </si>
  <si>
    <t>Time</t>
  </si>
  <si>
    <t>Line Length</t>
  </si>
  <si>
    <t>X1</t>
  </si>
  <si>
    <t>Y1</t>
  </si>
  <si>
    <t>X2</t>
  </si>
  <si>
    <t>Y2</t>
  </si>
  <si>
    <t>Hr Hand</t>
  </si>
  <si>
    <t>Min Hand</t>
  </si>
  <si>
    <t>Hr Hand Insert</t>
  </si>
  <si>
    <t>Min Hand Insert</t>
  </si>
  <si>
    <t>Min Hand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</si>
</sst>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horizontal="left"/>
    </xf>
    <xf numFmtId="2" fontId="0" fillId="0" borderId="0" xfId="0" quotePrefix="1" applyNumberFormat="1"/>
    <xf numFmtId="22" fontId="0" fillId="0" borderId="0" xfId="0" applyNumberFormat="1"/>
    <xf numFmtId="22" fontId="0" fillId="0" borderId="0" xfId="0" quotePrefix="1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551837270341204E-2"/>
          <c:y val="4.9814950437747724E-2"/>
          <c:w val="0.90284489758722331"/>
          <c:h val="0.94914333624963543"/>
        </c:manualLayout>
      </c:layout>
      <c:scatterChart>
        <c:scatterStyle val="lineMarker"/>
        <c:varyColors val="0"/>
        <c:ser>
          <c:idx val="0"/>
          <c:order val="0"/>
          <c:tx>
            <c:v>Hours</c:v>
          </c:tx>
          <c:spPr>
            <a:ln w="88900" cap="rnd" cmpd="sng">
              <a:solidFill>
                <a:schemeClr val="bg1">
                  <a:lumMod val="85000"/>
                </a:schemeClr>
              </a:solidFill>
              <a:round/>
              <a:headEnd type="oval" w="sm" len="sm"/>
              <a:tailEnd type="diamond"/>
            </a:ln>
            <a:effectLst>
              <a:outerShdw blurRad="50800" dist="63500" dir="5400000" algn="t" rotWithShape="0">
                <a:schemeClr val="tx1">
                  <a:alpha val="90000"/>
                </a:schemeClr>
              </a:outerShdw>
            </a:effectLst>
          </c:spPr>
          <c:marker>
            <c:symbol val="none"/>
          </c:marker>
          <c:xVal>
            <c:numRef>
              <c:f>('weird formulas and such'!$D$21,'weird formulas and such'!$F$21)</c:f>
              <c:numCache>
                <c:formatCode>General</c:formatCode>
                <c:ptCount val="2"/>
                <c:pt idx="0">
                  <c:v>0</c:v>
                </c:pt>
                <c:pt idx="1">
                  <c:v>0.8252380293033883</c:v>
                </c:pt>
              </c:numCache>
            </c:numRef>
          </c:xVal>
          <c:yVal>
            <c:numRef>
              <c:f>('weird formulas and such'!$E$21,'weird formulas and such'!$G$21)</c:f>
              <c:numCache>
                <c:formatCode>General</c:formatCode>
                <c:ptCount val="2"/>
                <c:pt idx="0">
                  <c:v>0</c:v>
                </c:pt>
                <c:pt idx="1">
                  <c:v>4.931428007686157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A0-4CAB-9C47-647283BC9001}"/>
            </c:ext>
          </c:extLst>
        </c:ser>
        <c:ser>
          <c:idx val="2"/>
          <c:order val="1"/>
          <c:tx>
            <c:v>Hours Inlay</c:v>
          </c:tx>
          <c:spPr>
            <a:ln w="38100" cap="rnd">
              <a:solidFill>
                <a:srgbClr val="F9F9DB"/>
              </a:solidFill>
              <a:round/>
              <a:tailEnd type="diamond" w="lg" len="lg"/>
            </a:ln>
            <a:effectLst/>
          </c:spPr>
          <c:marker>
            <c:symbol val="none"/>
          </c:marker>
          <c:xVal>
            <c:numRef>
              <c:f>('weird formulas and such'!$D$23,'weird formulas and such'!$F$23)</c:f>
              <c:numCache>
                <c:formatCode>General</c:formatCode>
                <c:ptCount val="2"/>
                <c:pt idx="0">
                  <c:v>0</c:v>
                </c:pt>
                <c:pt idx="1">
                  <c:v>0.8252380293033883</c:v>
                </c:pt>
              </c:numCache>
            </c:numRef>
          </c:xVal>
          <c:yVal>
            <c:numRef>
              <c:f>('weird formulas and such'!$E$23,'weird formulas and such'!$G$23)</c:f>
              <c:numCache>
                <c:formatCode>General</c:formatCode>
                <c:ptCount val="2"/>
                <c:pt idx="0">
                  <c:v>0</c:v>
                </c:pt>
                <c:pt idx="1">
                  <c:v>4.931428007686157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A0-4CAB-9C47-647283BC9001}"/>
            </c:ext>
          </c:extLst>
        </c:ser>
        <c:ser>
          <c:idx val="1"/>
          <c:order val="2"/>
          <c:tx>
            <c:v>Minutes</c:v>
          </c:tx>
          <c:spPr>
            <a:ln w="88900" cap="rnd" cmpd="sng">
              <a:solidFill>
                <a:schemeClr val="bg1">
                  <a:lumMod val="85000"/>
                </a:schemeClr>
              </a:solidFill>
              <a:round/>
              <a:tailEnd type="none" w="sm" len="med"/>
            </a:ln>
            <a:effectLst>
              <a:outerShdw blurRad="50800" dist="63500" dir="5400000" algn="t" rotWithShape="0">
                <a:prstClr val="black">
                  <a:alpha val="90000"/>
                </a:prstClr>
              </a:outerShdw>
            </a:effectLst>
          </c:spPr>
          <c:marker>
            <c:symbol val="none"/>
          </c:marker>
          <c:xVal>
            <c:numRef>
              <c:f>('weird formulas and such'!$D$22,'weird formulas and such'!$F$22)</c:f>
              <c:numCache>
                <c:formatCode>General</c:formatCode>
                <c:ptCount val="2"/>
                <c:pt idx="0">
                  <c:v>0</c:v>
                </c:pt>
                <c:pt idx="1">
                  <c:v>7.7651363899621071</c:v>
                </c:pt>
              </c:numCache>
            </c:numRef>
          </c:xVal>
          <c:yVal>
            <c:numRef>
              <c:f>('weird formulas and such'!$E$22,'weird formulas and such'!$G$22)</c:f>
              <c:numCache>
                <c:formatCode>General</c:formatCode>
                <c:ptCount val="2"/>
                <c:pt idx="0">
                  <c:v>0</c:v>
                </c:pt>
                <c:pt idx="1">
                  <c:v>-3.4572614661443022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A0-4CAB-9C47-647283BC9001}"/>
            </c:ext>
          </c:extLst>
        </c:ser>
        <c:ser>
          <c:idx val="3"/>
          <c:order val="3"/>
          <c:tx>
            <c:v>Mins Overlay</c:v>
          </c:tx>
          <c:spPr>
            <a:ln w="38100" cap="rnd" cmpd="sng">
              <a:solidFill>
                <a:srgbClr val="F9F9DB"/>
              </a:solidFill>
              <a:round/>
            </a:ln>
            <a:effectLst/>
          </c:spPr>
          <c:marker>
            <c:symbol val="none"/>
          </c:marker>
          <c:xVal>
            <c:numRef>
              <c:f>('weird formulas and such'!$D$24,'weird formulas and such'!$F$24)</c:f>
              <c:numCache>
                <c:formatCode>General</c:formatCode>
                <c:ptCount val="2"/>
                <c:pt idx="0">
                  <c:v>0</c:v>
                </c:pt>
                <c:pt idx="1">
                  <c:v>7.7651363899621071</c:v>
                </c:pt>
              </c:numCache>
            </c:numRef>
          </c:xVal>
          <c:yVal>
            <c:numRef>
              <c:f>('weird formulas and such'!$E$24,'weird formulas and such'!$G$24)</c:f>
              <c:numCache>
                <c:formatCode>General</c:formatCode>
                <c:ptCount val="2"/>
                <c:pt idx="0">
                  <c:v>0</c:v>
                </c:pt>
                <c:pt idx="1">
                  <c:v>-3.4572614661443022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A0-4CAB-9C47-647283BC9001}"/>
            </c:ext>
          </c:extLst>
        </c:ser>
        <c:ser>
          <c:idx val="4"/>
          <c:order val="4"/>
          <c:tx>
            <c:v>Cap</c:v>
          </c:tx>
          <c:spPr>
            <a:ln w="50800" cap="rnd">
              <a:solidFill>
                <a:schemeClr val="bg1">
                  <a:lumMod val="85000"/>
                </a:schemeClr>
              </a:solidFill>
              <a:round/>
              <a:headEnd type="oval" w="med" len="med"/>
              <a:tailEnd type="none" w="lg" len="lg"/>
            </a:ln>
            <a:effectLst/>
          </c:spPr>
          <c:marker>
            <c:symbol val="none"/>
          </c:marker>
          <c:xVal>
            <c:numRef>
              <c:f>('weird formulas and such'!$D$25,'weird formulas and such'!$F$25)</c:f>
              <c:numCache>
                <c:formatCode>General</c:formatCode>
                <c:ptCount val="2"/>
                <c:pt idx="0">
                  <c:v>0</c:v>
                </c:pt>
                <c:pt idx="1">
                  <c:v>0.91354545764260087</c:v>
                </c:pt>
              </c:numCache>
            </c:numRef>
          </c:xVal>
          <c:yVal>
            <c:numRef>
              <c:f>('weird formulas and such'!$E$25,'weird formulas and such'!$G$25)</c:f>
              <c:numCache>
                <c:formatCode>General</c:formatCode>
                <c:ptCount val="2"/>
                <c:pt idx="0">
                  <c:v>0</c:v>
                </c:pt>
                <c:pt idx="1">
                  <c:v>-0.40673664307580026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A0-4CAB-9C47-647283BC9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890832"/>
        <c:axId val="515889872"/>
      </c:scatterChart>
      <c:valAx>
        <c:axId val="515890832"/>
        <c:scaling>
          <c:orientation val="minMax"/>
          <c:max val="11"/>
          <c:min val="-11"/>
        </c:scaling>
        <c:delete val="1"/>
        <c:axPos val="b"/>
        <c:numFmt formatCode="General" sourceLinked="1"/>
        <c:majorTickMark val="none"/>
        <c:minorTickMark val="none"/>
        <c:tickLblPos val="nextTo"/>
        <c:crossAx val="515889872"/>
        <c:crosses val="autoZero"/>
        <c:crossBetween val="midCat"/>
      </c:valAx>
      <c:valAx>
        <c:axId val="515889872"/>
        <c:scaling>
          <c:orientation val="minMax"/>
          <c:max val="11"/>
          <c:min val="-11"/>
        </c:scaling>
        <c:delete val="1"/>
        <c:axPos val="l"/>
        <c:numFmt formatCode="General" sourceLinked="1"/>
        <c:majorTickMark val="none"/>
        <c:minorTickMark val="none"/>
        <c:tickLblPos val="nextTo"/>
        <c:crossAx val="515890832"/>
        <c:crosses val="autoZero"/>
        <c:crossBetween val="midCat"/>
      </c:valAx>
      <c:spPr>
        <a:noFill/>
        <a:ln>
          <a:noFill/>
        </a:ln>
        <a:effectLst>
          <a:softEdge rad="508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0</xdr:row>
      <xdr:rowOff>119064</xdr:rowOff>
    </xdr:from>
    <xdr:to>
      <xdr:col>2</xdr:col>
      <xdr:colOff>504824</xdr:colOff>
      <xdr:row>15</xdr:row>
      <xdr:rowOff>76200</xdr:rowOff>
    </xdr:to>
    <xdr:grpSp>
      <xdr:nvGrpSpPr>
        <xdr:cNvPr id="4" name="Bezel">
          <a:extLst>
            <a:ext uri="{FF2B5EF4-FFF2-40B4-BE49-F238E27FC236}">
              <a16:creationId xmlns:a16="http://schemas.microsoft.com/office/drawing/2014/main" id="{0A15FFD6-359B-4B78-B049-4DA0A05F1B4A}"/>
            </a:ext>
          </a:extLst>
        </xdr:cNvPr>
        <xdr:cNvGrpSpPr/>
      </xdr:nvGrpSpPr>
      <xdr:grpSpPr>
        <a:xfrm>
          <a:off x="285749" y="119064"/>
          <a:ext cx="2743200" cy="2778917"/>
          <a:chOff x="154780" y="2122671"/>
          <a:chExt cx="3183136" cy="3131344"/>
        </a:xfrm>
      </xdr:grpSpPr>
      <xdr:sp macro="" textlink="">
        <xdr:nvSpPr>
          <xdr:cNvPr id="5" name="Block Arc 4">
            <a:extLst>
              <a:ext uri="{FF2B5EF4-FFF2-40B4-BE49-F238E27FC236}">
                <a16:creationId xmlns:a16="http://schemas.microsoft.com/office/drawing/2014/main" id="{F734BF1F-DEF7-633D-FDC5-05F22CEB4C79}"/>
              </a:ext>
            </a:extLst>
          </xdr:cNvPr>
          <xdr:cNvSpPr/>
        </xdr:nvSpPr>
        <xdr:spPr>
          <a:xfrm rot="10800000">
            <a:off x="154781" y="2122671"/>
            <a:ext cx="3183135" cy="3119440"/>
          </a:xfrm>
          <a:prstGeom prst="blockArc">
            <a:avLst/>
          </a:prstGeom>
          <a:solidFill>
            <a:srgbClr val="9E0000"/>
          </a:solidFill>
          <a:ln w="19050"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>
            <a:bevelT w="101600" h="38100"/>
            <a:contourClr>
              <a:schemeClr val="bg1">
                <a:lumMod val="75000"/>
              </a:schemeClr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>
              <a:solidFill>
                <a:schemeClr val="tx1"/>
              </a:solidFill>
            </a:endParaRPr>
          </a:p>
        </xdr:txBody>
      </xdr:sp>
      <xdr:sp macro="" textlink="">
        <xdr:nvSpPr>
          <xdr:cNvPr id="6" name="Block Arc 5">
            <a:extLst>
              <a:ext uri="{FF2B5EF4-FFF2-40B4-BE49-F238E27FC236}">
                <a16:creationId xmlns:a16="http://schemas.microsoft.com/office/drawing/2014/main" id="{10CC90A5-B233-F75C-81A4-10FE29CB44A8}"/>
              </a:ext>
            </a:extLst>
          </xdr:cNvPr>
          <xdr:cNvSpPr/>
        </xdr:nvSpPr>
        <xdr:spPr>
          <a:xfrm>
            <a:off x="154780" y="2134575"/>
            <a:ext cx="3183135" cy="3119440"/>
          </a:xfrm>
          <a:prstGeom prst="blockArc">
            <a:avLst/>
          </a:prstGeom>
          <a:solidFill>
            <a:srgbClr val="173C5D"/>
          </a:solidFill>
          <a:ln w="19050"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>
            <a:bevelT w="101600" h="38100"/>
            <a:contourClr>
              <a:schemeClr val="bg1">
                <a:lumMod val="75000"/>
              </a:schemeClr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488156</xdr:colOff>
      <xdr:row>1</xdr:row>
      <xdr:rowOff>119063</xdr:rowOff>
    </xdr:from>
    <xdr:to>
      <xdr:col>2</xdr:col>
      <xdr:colOff>297656</xdr:colOff>
      <xdr:row>14</xdr:row>
      <xdr:rowOff>35719</xdr:rowOff>
    </xdr:to>
    <xdr:sp macro="" textlink="">
      <xdr:nvSpPr>
        <xdr:cNvPr id="7" name="Dial">
          <a:extLst>
            <a:ext uri="{FF2B5EF4-FFF2-40B4-BE49-F238E27FC236}">
              <a16:creationId xmlns:a16="http://schemas.microsoft.com/office/drawing/2014/main" id="{A33904DA-7733-4EF6-BC3C-FB8F55031DC5}"/>
            </a:ext>
          </a:extLst>
        </xdr:cNvPr>
        <xdr:cNvSpPr/>
      </xdr:nvSpPr>
      <xdr:spPr>
        <a:xfrm>
          <a:off x="488156" y="2738438"/>
          <a:ext cx="2333625" cy="2355056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 w="190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747712</xdr:colOff>
      <xdr:row>4</xdr:row>
      <xdr:rowOff>45242</xdr:rowOff>
    </xdr:from>
    <xdr:to>
      <xdr:col>2</xdr:col>
      <xdr:colOff>45244</xdr:colOff>
      <xdr:row>7</xdr:row>
      <xdr:rowOff>188117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97D3AD0-C9C0-4D80-BC8F-6073E4FE0202}"/>
            </a:ext>
          </a:extLst>
        </xdr:cNvPr>
        <xdr:cNvSpPr txBox="1"/>
      </xdr:nvSpPr>
      <xdr:spPr>
        <a:xfrm>
          <a:off x="747712" y="3217067"/>
          <a:ext cx="1821657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000" b="0" kern="1200">
              <a:solidFill>
                <a:schemeClr val="bg1"/>
              </a:solidFill>
              <a:latin typeface="Aptos Serif" panose="020B0502040204020203" pitchFamily="18" charset="0"/>
              <a:cs typeface="Aptos Serif" panose="020B0502040204020203" pitchFamily="18" charset="0"/>
            </a:rPr>
            <a:t>COMPUDOR</a:t>
          </a:r>
          <a:endParaRPr lang="en-US" sz="800" b="0" kern="1200">
            <a:solidFill>
              <a:schemeClr val="bg1"/>
            </a:solidFill>
            <a:latin typeface="Aptos Serif" panose="020B0502040204020203" pitchFamily="18" charset="0"/>
            <a:cs typeface="Aptos Serif" panose="020B0502040204020203" pitchFamily="18" charset="0"/>
          </a:endParaRPr>
        </a:p>
      </xdr:txBody>
    </xdr:sp>
    <xdr:clientData/>
  </xdr:twoCellAnchor>
  <xdr:twoCellAnchor>
    <xdr:from>
      <xdr:col>0</xdr:col>
      <xdr:colOff>750094</xdr:colOff>
      <xdr:row>8</xdr:row>
      <xdr:rowOff>71436</xdr:rowOff>
    </xdr:from>
    <xdr:to>
      <xdr:col>2</xdr:col>
      <xdr:colOff>47626</xdr:colOff>
      <xdr:row>11</xdr:row>
      <xdr:rowOff>178593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FBE6108-BC5C-42E8-891B-867B689366FF}"/>
            </a:ext>
          </a:extLst>
        </xdr:cNvPr>
        <xdr:cNvSpPr txBox="1"/>
      </xdr:nvSpPr>
      <xdr:spPr>
        <a:xfrm>
          <a:off x="750094" y="3976686"/>
          <a:ext cx="1821657" cy="678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800" b="0" kern="1200">
              <a:solidFill>
                <a:schemeClr val="bg1"/>
              </a:solidFill>
              <a:latin typeface="Aptos" panose="020B0004020202020204" pitchFamily="34" charset="0"/>
            </a:rPr>
            <a:t>GMT</a:t>
          </a:r>
        </a:p>
        <a:p>
          <a:pPr algn="ctr"/>
          <a:r>
            <a:rPr lang="en-US" sz="800" b="0" kern="1200">
              <a:solidFill>
                <a:schemeClr val="bg1"/>
              </a:solidFill>
              <a:latin typeface="Aptos" panose="020B0004020202020204" pitchFamily="34" charset="0"/>
            </a:rPr>
            <a:t>CHRONOMETER</a:t>
          </a:r>
        </a:p>
        <a:p>
          <a:pPr algn="ctr"/>
          <a:r>
            <a:rPr lang="en-US" sz="800" b="0" kern="1200" baseline="0">
              <a:solidFill>
                <a:schemeClr val="bg1"/>
              </a:solidFill>
              <a:latin typeface="Aptos" panose="020B0004020202020204" pitchFamily="34" charset="0"/>
            </a:rPr>
            <a:t> NOT CERTIFIED</a:t>
          </a:r>
          <a:endParaRPr lang="en-US" sz="800" b="0" kern="120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0</xdr:col>
      <xdr:colOff>750095</xdr:colOff>
      <xdr:row>4</xdr:row>
      <xdr:rowOff>166687</xdr:rowOff>
    </xdr:from>
    <xdr:to>
      <xdr:col>2</xdr:col>
      <xdr:colOff>47627</xdr:colOff>
      <xdr:row>8</xdr:row>
      <xdr:rowOff>119062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3F26032-90F0-4956-B36B-42EDD177A0F3}"/>
            </a:ext>
          </a:extLst>
        </xdr:cNvPr>
        <xdr:cNvSpPr txBox="1"/>
      </xdr:nvSpPr>
      <xdr:spPr>
        <a:xfrm>
          <a:off x="750095" y="3338512"/>
          <a:ext cx="1821657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800" b="0" kern="1200">
              <a:solidFill>
                <a:schemeClr val="bg1"/>
              </a:solidFill>
              <a:latin typeface="Aptos" panose="020B0004020202020204" pitchFamily="34" charset="0"/>
            </a:rPr>
            <a:t>EXCEL</a:t>
          </a:r>
        </a:p>
      </xdr:txBody>
    </xdr:sp>
    <xdr:clientData/>
  </xdr:twoCellAnchor>
  <xdr:twoCellAnchor>
    <xdr:from>
      <xdr:col>1</xdr:col>
      <xdr:colOff>1214437</xdr:colOff>
      <xdr:row>5</xdr:row>
      <xdr:rowOff>130968</xdr:rowOff>
    </xdr:from>
    <xdr:to>
      <xdr:col>1</xdr:col>
      <xdr:colOff>1404934</xdr:colOff>
      <xdr:row>6</xdr:row>
      <xdr:rowOff>142870</xdr:rowOff>
    </xdr:to>
    <xdr:grpSp>
      <xdr:nvGrpSpPr>
        <xdr:cNvPr id="11" name="2 Index">
          <a:extLst>
            <a:ext uri="{FF2B5EF4-FFF2-40B4-BE49-F238E27FC236}">
              <a16:creationId xmlns:a16="http://schemas.microsoft.com/office/drawing/2014/main" id="{FEC86918-1CEF-49CA-85C3-9BB9824D5BF6}"/>
            </a:ext>
          </a:extLst>
        </xdr:cNvPr>
        <xdr:cNvGrpSpPr/>
      </xdr:nvGrpSpPr>
      <xdr:grpSpPr>
        <a:xfrm>
          <a:off x="2286000" y="1047749"/>
          <a:ext cx="190497" cy="202402"/>
          <a:chOff x="1988346" y="4524377"/>
          <a:chExt cx="190497" cy="190497"/>
        </a:xfrm>
      </xdr:grpSpPr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143D1ABD-E8A7-3488-CADB-BF85A8F6E53D}"/>
              </a:ext>
            </a:extLst>
          </xdr:cNvPr>
          <xdr:cNvSpPr/>
        </xdr:nvSpPr>
        <xdr:spPr>
          <a:xfrm>
            <a:off x="1988346" y="4524377"/>
            <a:ext cx="190497" cy="190497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69F59E54-AF05-5DC9-46F1-D622A4CE18A9}"/>
              </a:ext>
            </a:extLst>
          </xdr:cNvPr>
          <xdr:cNvSpPr>
            <a:spLocks noChangeAspect="1"/>
          </xdr:cNvSpPr>
        </xdr:nvSpPr>
        <xdr:spPr>
          <a:xfrm>
            <a:off x="2024066" y="4560097"/>
            <a:ext cx="121983" cy="121983"/>
          </a:xfrm>
          <a:prstGeom prst="ellipse">
            <a:avLst/>
          </a:prstGeom>
          <a:solidFill>
            <a:srgbClr val="F9F9D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1</xdr:col>
      <xdr:colOff>928687</xdr:colOff>
      <xdr:row>3</xdr:row>
      <xdr:rowOff>154780</xdr:rowOff>
    </xdr:from>
    <xdr:to>
      <xdr:col>1</xdr:col>
      <xdr:colOff>1119184</xdr:colOff>
      <xdr:row>4</xdr:row>
      <xdr:rowOff>166683</xdr:rowOff>
    </xdr:to>
    <xdr:grpSp>
      <xdr:nvGrpSpPr>
        <xdr:cNvPr id="14" name="1 Index">
          <a:extLst>
            <a:ext uri="{FF2B5EF4-FFF2-40B4-BE49-F238E27FC236}">
              <a16:creationId xmlns:a16="http://schemas.microsoft.com/office/drawing/2014/main" id="{F56933DE-83AA-4594-8F16-2D057810B5C9}"/>
            </a:ext>
          </a:extLst>
        </xdr:cNvPr>
        <xdr:cNvGrpSpPr/>
      </xdr:nvGrpSpPr>
      <xdr:grpSpPr>
        <a:xfrm>
          <a:off x="2000250" y="690561"/>
          <a:ext cx="190497" cy="202403"/>
          <a:chOff x="1988346" y="4524377"/>
          <a:chExt cx="190497" cy="190497"/>
        </a:xfrm>
      </xdr:grpSpPr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4860AB43-8CE1-C613-63F9-45F0C9C6AE1E}"/>
              </a:ext>
            </a:extLst>
          </xdr:cNvPr>
          <xdr:cNvSpPr/>
        </xdr:nvSpPr>
        <xdr:spPr>
          <a:xfrm>
            <a:off x="1988346" y="4524377"/>
            <a:ext cx="190497" cy="190497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2059C0EE-66EA-5B83-F4D2-25588CBF8564}"/>
              </a:ext>
            </a:extLst>
          </xdr:cNvPr>
          <xdr:cNvSpPr>
            <a:spLocks noChangeAspect="1"/>
          </xdr:cNvSpPr>
        </xdr:nvSpPr>
        <xdr:spPr>
          <a:xfrm>
            <a:off x="2024066" y="4560097"/>
            <a:ext cx="121983" cy="121983"/>
          </a:xfrm>
          <a:prstGeom prst="ellipse">
            <a:avLst/>
          </a:prstGeom>
          <a:solidFill>
            <a:srgbClr val="F9F9D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1</xdr:col>
      <xdr:colOff>71436</xdr:colOff>
      <xdr:row>3</xdr:row>
      <xdr:rowOff>154781</xdr:rowOff>
    </xdr:from>
    <xdr:to>
      <xdr:col>1</xdr:col>
      <xdr:colOff>261933</xdr:colOff>
      <xdr:row>4</xdr:row>
      <xdr:rowOff>166684</xdr:rowOff>
    </xdr:to>
    <xdr:grpSp>
      <xdr:nvGrpSpPr>
        <xdr:cNvPr id="17" name="11 Index">
          <a:extLst>
            <a:ext uri="{FF2B5EF4-FFF2-40B4-BE49-F238E27FC236}">
              <a16:creationId xmlns:a16="http://schemas.microsoft.com/office/drawing/2014/main" id="{5B909DA5-273E-41DB-8DBD-299C73A6E17F}"/>
            </a:ext>
          </a:extLst>
        </xdr:cNvPr>
        <xdr:cNvGrpSpPr/>
      </xdr:nvGrpSpPr>
      <xdr:grpSpPr>
        <a:xfrm>
          <a:off x="1142999" y="690562"/>
          <a:ext cx="190497" cy="202403"/>
          <a:chOff x="1988346" y="4524377"/>
          <a:chExt cx="190497" cy="190497"/>
        </a:xfrm>
      </xdr:grpSpPr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842FE384-4B63-9398-424D-C7DAD2BF79B0}"/>
              </a:ext>
            </a:extLst>
          </xdr:cNvPr>
          <xdr:cNvSpPr/>
        </xdr:nvSpPr>
        <xdr:spPr>
          <a:xfrm>
            <a:off x="1988346" y="4524377"/>
            <a:ext cx="190497" cy="190497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1E1917C5-95AB-F38D-6E7D-9DFE894583ED}"/>
              </a:ext>
            </a:extLst>
          </xdr:cNvPr>
          <xdr:cNvSpPr>
            <a:spLocks noChangeAspect="1"/>
          </xdr:cNvSpPr>
        </xdr:nvSpPr>
        <xdr:spPr>
          <a:xfrm>
            <a:off x="2024066" y="4560097"/>
            <a:ext cx="121983" cy="121983"/>
          </a:xfrm>
          <a:prstGeom prst="ellipse">
            <a:avLst/>
          </a:prstGeom>
          <a:solidFill>
            <a:srgbClr val="F9F9D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0</xdr:col>
      <xdr:colOff>845343</xdr:colOff>
      <xdr:row>5</xdr:row>
      <xdr:rowOff>130968</xdr:rowOff>
    </xdr:from>
    <xdr:to>
      <xdr:col>0</xdr:col>
      <xdr:colOff>1035840</xdr:colOff>
      <xdr:row>6</xdr:row>
      <xdr:rowOff>142871</xdr:rowOff>
    </xdr:to>
    <xdr:grpSp>
      <xdr:nvGrpSpPr>
        <xdr:cNvPr id="20" name="10 Index">
          <a:extLst>
            <a:ext uri="{FF2B5EF4-FFF2-40B4-BE49-F238E27FC236}">
              <a16:creationId xmlns:a16="http://schemas.microsoft.com/office/drawing/2014/main" id="{3A00F019-9C47-4411-9889-4C1EF5B70F51}"/>
            </a:ext>
          </a:extLst>
        </xdr:cNvPr>
        <xdr:cNvGrpSpPr/>
      </xdr:nvGrpSpPr>
      <xdr:grpSpPr>
        <a:xfrm>
          <a:off x="845343" y="1047749"/>
          <a:ext cx="190497" cy="202403"/>
          <a:chOff x="1988346" y="4524377"/>
          <a:chExt cx="190497" cy="190497"/>
        </a:xfrm>
      </xdr:grpSpPr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F3E87CB8-19EB-9E84-E993-B92DADF2BBC3}"/>
              </a:ext>
            </a:extLst>
          </xdr:cNvPr>
          <xdr:cNvSpPr/>
        </xdr:nvSpPr>
        <xdr:spPr>
          <a:xfrm>
            <a:off x="1988346" y="4524377"/>
            <a:ext cx="190497" cy="190497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511BF8BF-73BC-ADA0-CCB6-A4709C6D54DD}"/>
              </a:ext>
            </a:extLst>
          </xdr:cNvPr>
          <xdr:cNvSpPr>
            <a:spLocks noChangeAspect="1"/>
          </xdr:cNvSpPr>
        </xdr:nvSpPr>
        <xdr:spPr>
          <a:xfrm>
            <a:off x="2024066" y="4560097"/>
            <a:ext cx="121983" cy="121983"/>
          </a:xfrm>
          <a:prstGeom prst="ellipse">
            <a:avLst/>
          </a:prstGeom>
          <a:solidFill>
            <a:srgbClr val="F9F9D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1</xdr:col>
      <xdr:colOff>1202532</xdr:colOff>
      <xdr:row>10</xdr:row>
      <xdr:rowOff>35718</xdr:rowOff>
    </xdr:from>
    <xdr:to>
      <xdr:col>1</xdr:col>
      <xdr:colOff>1393029</xdr:colOff>
      <xdr:row>11</xdr:row>
      <xdr:rowOff>35715</xdr:rowOff>
    </xdr:to>
    <xdr:grpSp>
      <xdr:nvGrpSpPr>
        <xdr:cNvPr id="23" name="4 Index">
          <a:extLst>
            <a:ext uri="{FF2B5EF4-FFF2-40B4-BE49-F238E27FC236}">
              <a16:creationId xmlns:a16="http://schemas.microsoft.com/office/drawing/2014/main" id="{75BD0D6D-B925-42BE-A327-795ECB14C503}"/>
            </a:ext>
          </a:extLst>
        </xdr:cNvPr>
        <xdr:cNvGrpSpPr/>
      </xdr:nvGrpSpPr>
      <xdr:grpSpPr>
        <a:xfrm>
          <a:off x="2274095" y="1904999"/>
          <a:ext cx="190497" cy="190497"/>
          <a:chOff x="1988346" y="4524377"/>
          <a:chExt cx="190497" cy="190497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1C75F95B-DF75-90D6-0362-EFA848993419}"/>
              </a:ext>
            </a:extLst>
          </xdr:cNvPr>
          <xdr:cNvSpPr/>
        </xdr:nvSpPr>
        <xdr:spPr>
          <a:xfrm>
            <a:off x="1988346" y="4524377"/>
            <a:ext cx="190497" cy="190497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B150D526-81CA-0F28-2EE9-656B6DC72FC7}"/>
              </a:ext>
            </a:extLst>
          </xdr:cNvPr>
          <xdr:cNvSpPr>
            <a:spLocks noChangeAspect="1"/>
          </xdr:cNvSpPr>
        </xdr:nvSpPr>
        <xdr:spPr>
          <a:xfrm>
            <a:off x="2024066" y="4560097"/>
            <a:ext cx="121983" cy="121983"/>
          </a:xfrm>
          <a:prstGeom prst="ellipse">
            <a:avLst/>
          </a:prstGeom>
          <a:solidFill>
            <a:srgbClr val="F9F9D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0</xdr:col>
      <xdr:colOff>845343</xdr:colOff>
      <xdr:row>10</xdr:row>
      <xdr:rowOff>35718</xdr:rowOff>
    </xdr:from>
    <xdr:to>
      <xdr:col>0</xdr:col>
      <xdr:colOff>1035840</xdr:colOff>
      <xdr:row>11</xdr:row>
      <xdr:rowOff>35715</xdr:rowOff>
    </xdr:to>
    <xdr:grpSp>
      <xdr:nvGrpSpPr>
        <xdr:cNvPr id="26" name="8 Index">
          <a:extLst>
            <a:ext uri="{FF2B5EF4-FFF2-40B4-BE49-F238E27FC236}">
              <a16:creationId xmlns:a16="http://schemas.microsoft.com/office/drawing/2014/main" id="{D58D6C72-FD62-4A85-BADF-54863236E014}"/>
            </a:ext>
          </a:extLst>
        </xdr:cNvPr>
        <xdr:cNvGrpSpPr/>
      </xdr:nvGrpSpPr>
      <xdr:grpSpPr>
        <a:xfrm>
          <a:off x="845343" y="1904999"/>
          <a:ext cx="190497" cy="190497"/>
          <a:chOff x="1988346" y="4524377"/>
          <a:chExt cx="190497" cy="190497"/>
        </a:xfrm>
      </xdr:grpSpPr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90475AB2-14F5-A620-143C-F865A2E9E293}"/>
              </a:ext>
            </a:extLst>
          </xdr:cNvPr>
          <xdr:cNvSpPr/>
        </xdr:nvSpPr>
        <xdr:spPr>
          <a:xfrm>
            <a:off x="1988346" y="4524377"/>
            <a:ext cx="190497" cy="190497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55B2C315-0CB7-085B-F32F-A2568EAD093F}"/>
              </a:ext>
            </a:extLst>
          </xdr:cNvPr>
          <xdr:cNvSpPr>
            <a:spLocks noChangeAspect="1"/>
          </xdr:cNvSpPr>
        </xdr:nvSpPr>
        <xdr:spPr>
          <a:xfrm>
            <a:off x="2024066" y="4560097"/>
            <a:ext cx="121983" cy="121983"/>
          </a:xfrm>
          <a:prstGeom prst="ellipse">
            <a:avLst/>
          </a:prstGeom>
          <a:solidFill>
            <a:srgbClr val="F9F9D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1</xdr:col>
      <xdr:colOff>904877</xdr:colOff>
      <xdr:row>11</xdr:row>
      <xdr:rowOff>119064</xdr:rowOff>
    </xdr:from>
    <xdr:to>
      <xdr:col>1</xdr:col>
      <xdr:colOff>1095374</xdr:colOff>
      <xdr:row>12</xdr:row>
      <xdr:rowOff>119061</xdr:rowOff>
    </xdr:to>
    <xdr:grpSp>
      <xdr:nvGrpSpPr>
        <xdr:cNvPr id="29" name="5 Index">
          <a:extLst>
            <a:ext uri="{FF2B5EF4-FFF2-40B4-BE49-F238E27FC236}">
              <a16:creationId xmlns:a16="http://schemas.microsoft.com/office/drawing/2014/main" id="{C34FC2B9-E0B5-453F-BEEC-E18E494E33F5}"/>
            </a:ext>
          </a:extLst>
        </xdr:cNvPr>
        <xdr:cNvGrpSpPr/>
      </xdr:nvGrpSpPr>
      <xdr:grpSpPr>
        <a:xfrm>
          <a:off x="1976440" y="2178845"/>
          <a:ext cx="190497" cy="190497"/>
          <a:chOff x="1988346" y="4524377"/>
          <a:chExt cx="190497" cy="190497"/>
        </a:xfrm>
      </xdr:grpSpPr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59D26600-40DD-8588-FE6D-F77036846A4B}"/>
              </a:ext>
            </a:extLst>
          </xdr:cNvPr>
          <xdr:cNvSpPr/>
        </xdr:nvSpPr>
        <xdr:spPr>
          <a:xfrm>
            <a:off x="1988346" y="4524377"/>
            <a:ext cx="190497" cy="190497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4CA08953-7D27-4F95-13DA-C5911ADE71F1}"/>
              </a:ext>
            </a:extLst>
          </xdr:cNvPr>
          <xdr:cNvSpPr>
            <a:spLocks noChangeAspect="1"/>
          </xdr:cNvSpPr>
        </xdr:nvSpPr>
        <xdr:spPr>
          <a:xfrm>
            <a:off x="2024066" y="4560097"/>
            <a:ext cx="121983" cy="121983"/>
          </a:xfrm>
          <a:prstGeom prst="ellipse">
            <a:avLst/>
          </a:prstGeom>
          <a:solidFill>
            <a:srgbClr val="F9F9D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1</xdr:col>
      <xdr:colOff>95249</xdr:colOff>
      <xdr:row>11</xdr:row>
      <xdr:rowOff>119061</xdr:rowOff>
    </xdr:from>
    <xdr:to>
      <xdr:col>1</xdr:col>
      <xdr:colOff>285746</xdr:colOff>
      <xdr:row>12</xdr:row>
      <xdr:rowOff>119058</xdr:rowOff>
    </xdr:to>
    <xdr:grpSp>
      <xdr:nvGrpSpPr>
        <xdr:cNvPr id="32" name="7 Index">
          <a:extLst>
            <a:ext uri="{FF2B5EF4-FFF2-40B4-BE49-F238E27FC236}">
              <a16:creationId xmlns:a16="http://schemas.microsoft.com/office/drawing/2014/main" id="{79BB3BEC-2AF8-4CB8-B8C8-DA152F8F62D1}"/>
            </a:ext>
          </a:extLst>
        </xdr:cNvPr>
        <xdr:cNvGrpSpPr/>
      </xdr:nvGrpSpPr>
      <xdr:grpSpPr>
        <a:xfrm>
          <a:off x="1166812" y="2178842"/>
          <a:ext cx="190497" cy="190497"/>
          <a:chOff x="1988346" y="4524377"/>
          <a:chExt cx="190497" cy="190497"/>
        </a:xfrm>
      </xdr:grpSpPr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AFF1EDE5-9C9F-E135-45A0-3BDE507E4C7B}"/>
              </a:ext>
            </a:extLst>
          </xdr:cNvPr>
          <xdr:cNvSpPr/>
        </xdr:nvSpPr>
        <xdr:spPr>
          <a:xfrm>
            <a:off x="1988346" y="4524377"/>
            <a:ext cx="190497" cy="190497"/>
          </a:xfrm>
          <a:prstGeom prst="ellipse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22214369-691E-700C-BFF0-2BF76563DB94}"/>
              </a:ext>
            </a:extLst>
          </xdr:cNvPr>
          <xdr:cNvSpPr>
            <a:spLocks noChangeAspect="1"/>
          </xdr:cNvSpPr>
        </xdr:nvSpPr>
        <xdr:spPr>
          <a:xfrm>
            <a:off x="2024066" y="4560097"/>
            <a:ext cx="121983" cy="121983"/>
          </a:xfrm>
          <a:prstGeom prst="ellipse">
            <a:avLst/>
          </a:prstGeom>
          <a:solidFill>
            <a:srgbClr val="F9F9D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1</xdr:col>
      <xdr:colOff>476248</xdr:colOff>
      <xdr:row>2</xdr:row>
      <xdr:rowOff>83344</xdr:rowOff>
    </xdr:from>
    <xdr:to>
      <xdr:col>1</xdr:col>
      <xdr:colOff>702467</xdr:colOff>
      <xdr:row>4</xdr:row>
      <xdr:rowOff>49326</xdr:rowOff>
    </xdr:to>
    <xdr:grpSp>
      <xdr:nvGrpSpPr>
        <xdr:cNvPr id="35" name="12 Index">
          <a:extLst>
            <a:ext uri="{FF2B5EF4-FFF2-40B4-BE49-F238E27FC236}">
              <a16:creationId xmlns:a16="http://schemas.microsoft.com/office/drawing/2014/main" id="{1C4FC175-C4E3-4ABD-8FF7-634639F0F90C}"/>
            </a:ext>
          </a:extLst>
        </xdr:cNvPr>
        <xdr:cNvGrpSpPr/>
      </xdr:nvGrpSpPr>
      <xdr:grpSpPr>
        <a:xfrm>
          <a:off x="1547811" y="428625"/>
          <a:ext cx="226219" cy="346982"/>
          <a:chOff x="1547811" y="2845594"/>
          <a:chExt cx="226219" cy="323170"/>
        </a:xfrm>
      </xdr:grpSpPr>
      <xdr:sp macro="" textlink="">
        <xdr:nvSpPr>
          <xdr:cNvPr id="36" name="Isosceles Triangle 35">
            <a:extLst>
              <a:ext uri="{FF2B5EF4-FFF2-40B4-BE49-F238E27FC236}">
                <a16:creationId xmlns:a16="http://schemas.microsoft.com/office/drawing/2014/main" id="{D5D8DE29-28E8-D7F9-DBB3-25C075B152A6}"/>
              </a:ext>
            </a:extLst>
          </xdr:cNvPr>
          <xdr:cNvSpPr/>
        </xdr:nvSpPr>
        <xdr:spPr>
          <a:xfrm rot="10800000">
            <a:off x="1547811" y="2845594"/>
            <a:ext cx="226219" cy="323170"/>
          </a:xfrm>
          <a:prstGeom prst="triangle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37" name="Isosceles Triangle 36">
            <a:extLst>
              <a:ext uri="{FF2B5EF4-FFF2-40B4-BE49-F238E27FC236}">
                <a16:creationId xmlns:a16="http://schemas.microsoft.com/office/drawing/2014/main" id="{7B375293-0FF5-9B1A-2F4F-E69E2C1985EB}"/>
              </a:ext>
            </a:extLst>
          </xdr:cNvPr>
          <xdr:cNvSpPr>
            <a:spLocks noChangeAspect="1"/>
          </xdr:cNvSpPr>
        </xdr:nvSpPr>
        <xdr:spPr>
          <a:xfrm rot="10800000">
            <a:off x="1578545" y="2880996"/>
            <a:ext cx="159764" cy="228234"/>
          </a:xfrm>
          <a:prstGeom prst="triangle">
            <a:avLst/>
          </a:prstGeom>
          <a:solidFill>
            <a:srgbClr val="F9F9D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0</xdr:col>
      <xdr:colOff>619124</xdr:colOff>
      <xdr:row>8</xdr:row>
      <xdr:rowOff>35716</xdr:rowOff>
    </xdr:from>
    <xdr:to>
      <xdr:col>0</xdr:col>
      <xdr:colOff>939164</xdr:colOff>
      <xdr:row>8</xdr:row>
      <xdr:rowOff>172876</xdr:rowOff>
    </xdr:to>
    <xdr:grpSp>
      <xdr:nvGrpSpPr>
        <xdr:cNvPr id="38" name="9 Index">
          <a:extLst>
            <a:ext uri="{FF2B5EF4-FFF2-40B4-BE49-F238E27FC236}">
              <a16:creationId xmlns:a16="http://schemas.microsoft.com/office/drawing/2014/main" id="{8901C218-6D42-4431-98D2-889D83421508}"/>
            </a:ext>
          </a:extLst>
        </xdr:cNvPr>
        <xdr:cNvGrpSpPr/>
      </xdr:nvGrpSpPr>
      <xdr:grpSpPr>
        <a:xfrm>
          <a:off x="619124" y="1523997"/>
          <a:ext cx="320040" cy="137160"/>
          <a:chOff x="619124" y="3845717"/>
          <a:chExt cx="320040" cy="137160"/>
        </a:xfrm>
      </xdr:grpSpPr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EB8AAA60-462B-A909-3924-90D7D42429B8}"/>
              </a:ext>
            </a:extLst>
          </xdr:cNvPr>
          <xdr:cNvSpPr/>
        </xdr:nvSpPr>
        <xdr:spPr>
          <a:xfrm>
            <a:off x="619124" y="3845717"/>
            <a:ext cx="320040" cy="137160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A3E83009-12F7-7228-EAC6-DF753E385B59}"/>
              </a:ext>
            </a:extLst>
          </xdr:cNvPr>
          <xdr:cNvSpPr/>
        </xdr:nvSpPr>
        <xdr:spPr>
          <a:xfrm>
            <a:off x="654842" y="3881437"/>
            <a:ext cx="264569" cy="79114"/>
          </a:xfrm>
          <a:prstGeom prst="rect">
            <a:avLst/>
          </a:prstGeom>
          <a:solidFill>
            <a:srgbClr val="F9F9DB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twoCellAnchor>
    <xdr:from>
      <xdr:col>1</xdr:col>
      <xdr:colOff>520065</xdr:colOff>
      <xdr:row>11</xdr:row>
      <xdr:rowOff>146685</xdr:rowOff>
    </xdr:from>
    <xdr:to>
      <xdr:col>1</xdr:col>
      <xdr:colOff>657225</xdr:colOff>
      <xdr:row>13</xdr:row>
      <xdr:rowOff>73819</xdr:rowOff>
    </xdr:to>
    <xdr:grpSp>
      <xdr:nvGrpSpPr>
        <xdr:cNvPr id="41" name="6 Index">
          <a:extLst>
            <a:ext uri="{FF2B5EF4-FFF2-40B4-BE49-F238E27FC236}">
              <a16:creationId xmlns:a16="http://schemas.microsoft.com/office/drawing/2014/main" id="{6FD76170-7EA6-4173-A0DD-1FE009A60859}"/>
            </a:ext>
          </a:extLst>
        </xdr:cNvPr>
        <xdr:cNvGrpSpPr/>
      </xdr:nvGrpSpPr>
      <xdr:grpSpPr>
        <a:xfrm rot="5400000">
          <a:off x="1506141" y="2291953"/>
          <a:ext cx="308134" cy="137160"/>
          <a:chOff x="619124" y="3845717"/>
          <a:chExt cx="320040" cy="137160"/>
        </a:xfrm>
      </xdr:grpSpPr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B9D7F4EC-686E-6C19-821E-351087443DFF}"/>
              </a:ext>
            </a:extLst>
          </xdr:cNvPr>
          <xdr:cNvSpPr/>
        </xdr:nvSpPr>
        <xdr:spPr>
          <a:xfrm>
            <a:off x="619124" y="3845717"/>
            <a:ext cx="320040" cy="137160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scene3d>
            <a:camera prst="orthographicFront"/>
            <a:lightRig rig="balanced" dir="t">
              <a:rot lat="0" lon="0" rev="5400000"/>
            </a:lightRig>
          </a:scene3d>
          <a:sp3d prstMaterial="metal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7805CB68-627C-10FD-2A2B-A225E72D7C49}"/>
              </a:ext>
            </a:extLst>
          </xdr:cNvPr>
          <xdr:cNvSpPr/>
        </xdr:nvSpPr>
        <xdr:spPr>
          <a:xfrm>
            <a:off x="654842" y="3881437"/>
            <a:ext cx="264569" cy="79114"/>
          </a:xfrm>
          <a:prstGeom prst="rect">
            <a:avLst/>
          </a:prstGeom>
          <a:solidFill>
            <a:srgbClr val="F9F9DB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</xdr:grpSp>
    <xdr:clientData/>
  </xdr:twoCellAnchor>
  <xdr:oneCellAnchor>
    <xdr:from>
      <xdr:col>1</xdr:col>
      <xdr:colOff>1333499</xdr:colOff>
      <xdr:row>7</xdr:row>
      <xdr:rowOff>182053</xdr:rowOff>
    </xdr:from>
    <xdr:ext cx="274320" cy="201168"/>
    <xdr:sp macro="" textlink="B19">
      <xdr:nvSpPr>
        <xdr:cNvPr id="44" name="Date">
          <a:extLst>
            <a:ext uri="{FF2B5EF4-FFF2-40B4-BE49-F238E27FC236}">
              <a16:creationId xmlns:a16="http://schemas.microsoft.com/office/drawing/2014/main" id="{2606E0CC-1696-4B08-A743-2165CC13A5E5}"/>
            </a:ext>
          </a:extLst>
        </xdr:cNvPr>
        <xdr:cNvSpPr txBox="1"/>
      </xdr:nvSpPr>
      <xdr:spPr>
        <a:xfrm>
          <a:off x="2400299" y="3896803"/>
          <a:ext cx="274320" cy="2011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B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 anchorCtr="1">
          <a:noAutofit/>
        </a:bodyPr>
        <a:lstStyle/>
        <a:p>
          <a:fld id="{13C99CD3-D0E7-4CC1-98F1-B95A7C26FF00}" type="TxLink">
            <a:rPr lang="en-US" sz="1800" b="0" i="0" u="none" strike="noStrike" kern="1200">
              <a:solidFill>
                <a:srgbClr val="000000"/>
              </a:solidFill>
              <a:latin typeface="Aptos" panose="020B0004020202020204" pitchFamily="34" charset="0"/>
              <a:ea typeface="Calibri"/>
              <a:cs typeface="Calibri"/>
            </a:rPr>
            <a:pPr/>
            <a:t>6</a:t>
          </a:fld>
          <a:endParaRPr lang="en-US" sz="1800" b="0" kern="1200">
            <a:latin typeface="Aptos" panose="020B0004020202020204" pitchFamily="34" charset="0"/>
          </a:endParaRPr>
        </a:p>
      </xdr:txBody>
    </xdr:sp>
    <xdr:clientData/>
  </xdr:oneCellAnchor>
  <xdr:twoCellAnchor>
    <xdr:from>
      <xdr:col>0</xdr:col>
      <xdr:colOff>285750</xdr:colOff>
      <xdr:row>0</xdr:row>
      <xdr:rowOff>166685</xdr:rowOff>
    </xdr:from>
    <xdr:to>
      <xdr:col>2</xdr:col>
      <xdr:colOff>504825</xdr:colOff>
      <xdr:row>14</xdr:row>
      <xdr:rowOff>175020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5085D77-264B-436C-8511-1361DF7FB0C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464344</xdr:colOff>
      <xdr:row>1</xdr:row>
      <xdr:rowOff>95250</xdr:rowOff>
    </xdr:from>
    <xdr:to>
      <xdr:col>2</xdr:col>
      <xdr:colOff>317659</xdr:colOff>
      <xdr:row>14</xdr:row>
      <xdr:rowOff>55721</xdr:rowOff>
    </xdr:to>
    <xdr:sp macro="" textlink="">
      <xdr:nvSpPr>
        <xdr:cNvPr id="46" name="Glass">
          <a:extLst>
            <a:ext uri="{FF2B5EF4-FFF2-40B4-BE49-F238E27FC236}">
              <a16:creationId xmlns:a16="http://schemas.microsoft.com/office/drawing/2014/main" id="{48999E13-FF8A-47E7-8CF7-6C743759B106}"/>
            </a:ext>
          </a:extLst>
        </xdr:cNvPr>
        <xdr:cNvSpPr/>
      </xdr:nvSpPr>
      <xdr:spPr>
        <a:xfrm>
          <a:off x="464344" y="2714625"/>
          <a:ext cx="2377440" cy="2398871"/>
        </a:xfrm>
        <a:prstGeom prst="ellipse">
          <a:avLst/>
        </a:prstGeom>
        <a:noFill/>
        <a:ln>
          <a:noFill/>
        </a:ln>
        <a:effectLst/>
        <a:scene3d>
          <a:camera prst="orthographicFront"/>
          <a:lightRig rig="balanced" dir="t">
            <a:rot lat="0" lon="0" rev="5400000"/>
          </a:lightRig>
        </a:scene3d>
        <a:sp3d prstMaterial="clear">
          <a:bevelT w="165100" h="139700" prst="angle"/>
          <a:contourClr>
            <a:schemeClr val="bg1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547687</xdr:colOff>
      <xdr:row>2</xdr:row>
      <xdr:rowOff>0</xdr:rowOff>
    </xdr:from>
    <xdr:to>
      <xdr:col>2</xdr:col>
      <xdr:colOff>226218</xdr:colOff>
      <xdr:row>13</xdr:row>
      <xdr:rowOff>154781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4C2C475C-EFE9-4679-85FB-FF4F4906A1D3}"/>
            </a:ext>
          </a:extLst>
        </xdr:cNvPr>
        <xdr:cNvSpPr/>
      </xdr:nvSpPr>
      <xdr:spPr>
        <a:xfrm>
          <a:off x="547687" y="2809875"/>
          <a:ext cx="2202656" cy="2212181"/>
        </a:xfrm>
        <a:prstGeom prst="ellipse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809625</xdr:colOff>
      <xdr:row>3</xdr:row>
      <xdr:rowOff>107156</xdr:rowOff>
    </xdr:from>
    <xdr:to>
      <xdr:col>1</xdr:col>
      <xdr:colOff>1440656</xdr:colOff>
      <xdr:row>12</xdr:row>
      <xdr:rowOff>142875</xdr:rowOff>
    </xdr:to>
    <xdr:sp macro="" textlink="">
      <xdr:nvSpPr>
        <xdr:cNvPr id="48" name="Star: 12 Points 47" hidden="1">
          <a:extLst>
            <a:ext uri="{FF2B5EF4-FFF2-40B4-BE49-F238E27FC236}">
              <a16:creationId xmlns:a16="http://schemas.microsoft.com/office/drawing/2014/main" id="{780C9303-2233-4A72-92EE-7EF27D6CBB64}"/>
            </a:ext>
          </a:extLst>
        </xdr:cNvPr>
        <xdr:cNvSpPr/>
      </xdr:nvSpPr>
      <xdr:spPr>
        <a:xfrm>
          <a:off x="809625" y="3098006"/>
          <a:ext cx="1697831" cy="1712119"/>
        </a:xfrm>
        <a:prstGeom prst="star12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</xdr:col>
      <xdr:colOff>500061</xdr:colOff>
      <xdr:row>4</xdr:row>
      <xdr:rowOff>107157</xdr:rowOff>
    </xdr:from>
    <xdr:to>
      <xdr:col>1</xdr:col>
      <xdr:colOff>678655</xdr:colOff>
      <xdr:row>5</xdr:row>
      <xdr:rowOff>95251</xdr:rowOff>
    </xdr:to>
    <xdr:pic>
      <xdr:nvPicPr>
        <xdr:cNvPr id="49" name="Graphic 48" descr="Monitor outline">
          <a:extLst>
            <a:ext uri="{FF2B5EF4-FFF2-40B4-BE49-F238E27FC236}">
              <a16:creationId xmlns:a16="http://schemas.microsoft.com/office/drawing/2014/main" id="{E52A665F-E571-4BAC-9642-A40D15D9F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66861" y="3278982"/>
          <a:ext cx="178594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139B-6DE8-4B89-94F0-46272C1EC001}">
  <sheetPr codeName="Sheet1">
    <tabColor theme="9" tint="0.79998168889431442"/>
  </sheetPr>
  <dimension ref="A1:H42"/>
  <sheetViews>
    <sheetView tabSelected="1" topLeftCell="A4" zoomScale="80" zoomScaleNormal="80" workbookViewId="0">
      <selection activeCell="M22" sqref="M22"/>
    </sheetView>
  </sheetViews>
  <sheetFormatPr defaultRowHeight="15" x14ac:dyDescent="0.25"/>
  <cols>
    <col min="1" max="1" width="16" customWidth="1"/>
    <col min="2" max="2" width="21.85546875" bestFit="1" customWidth="1"/>
    <col min="3" max="3" width="11.42578125" bestFit="1" customWidth="1"/>
    <col min="4" max="5" width="3.42578125" bestFit="1" customWidth="1"/>
    <col min="6" max="6" width="13.7109375" bestFit="1" customWidth="1"/>
    <col min="7" max="7" width="14.5703125" bestFit="1" customWidth="1"/>
    <col min="8" max="8" width="11.140625" bestFit="1" customWidth="1"/>
  </cols>
  <sheetData>
    <row r="1" spans="1:8" ht="12.95" customHeight="1" x14ac:dyDescent="0.25"/>
    <row r="2" spans="1:8" ht="14.25" customHeight="1" x14ac:dyDescent="0.25"/>
    <row r="3" spans="1:8" ht="15" customHeight="1" x14ac:dyDescent="0.25"/>
    <row r="4" spans="1:8" ht="15" customHeight="1" x14ac:dyDescent="0.25"/>
    <row r="7" spans="1:8" x14ac:dyDescent="0.25">
      <c r="H7" s="2"/>
    </row>
    <row r="12" spans="1:8" s="2" customFormat="1" x14ac:dyDescent="0.25">
      <c r="A12"/>
      <c r="B12"/>
      <c r="C12"/>
      <c r="D12"/>
      <c r="E12"/>
      <c r="F12"/>
      <c r="G12"/>
      <c r="H12"/>
    </row>
    <row r="19" spans="1:7" x14ac:dyDescent="0.25">
      <c r="A19" s="9" t="s">
        <v>0</v>
      </c>
      <c r="B19">
        <f ca="1">DAY(TODAY())</f>
        <v>6</v>
      </c>
    </row>
    <row r="20" spans="1:7" x14ac:dyDescent="0.25">
      <c r="A20" s="9" t="s">
        <v>1</v>
      </c>
      <c r="B20" t="str">
        <f ca="1">TEXT(NOW(),"HH:MM")</f>
        <v>12:19</v>
      </c>
      <c r="C20" s="9" t="s">
        <v>2</v>
      </c>
      <c r="D20" s="9" t="s">
        <v>3</v>
      </c>
      <c r="E20" s="9" t="s">
        <v>4</v>
      </c>
      <c r="F20" s="9" t="s">
        <v>5</v>
      </c>
      <c r="G20" s="9" t="s">
        <v>6</v>
      </c>
    </row>
    <row r="21" spans="1:7" x14ac:dyDescent="0.25">
      <c r="A21" s="9" t="s">
        <v>7</v>
      </c>
      <c r="B21" s="1">
        <f ca="1">MOD(LEFT(B20,SEARCH(":",B20)-1),12)*30+(RIGHT(B20,LEN(B20)-SEARCH(":",B20))*6/360)*30</f>
        <v>9.5</v>
      </c>
      <c r="C21">
        <v>5</v>
      </c>
      <c r="D21">
        <v>0</v>
      </c>
      <c r="E21">
        <v>0</v>
      </c>
      <c r="F21">
        <f ca="1">SIN(RADIANS(B21))*C21</f>
        <v>0.8252380293033883</v>
      </c>
      <c r="G21">
        <f ca="1">COS(RADIANS(B21))*C21</f>
        <v>4.931428007686157</v>
      </c>
    </row>
    <row r="22" spans="1:7" x14ac:dyDescent="0.25">
      <c r="A22" s="9" t="s">
        <v>8</v>
      </c>
      <c r="B22" s="1">
        <f ca="1">RIGHT(B20,LEN(B20)-SEARCH(":",B20))*6</f>
        <v>114</v>
      </c>
      <c r="C22">
        <v>8.5</v>
      </c>
      <c r="D22">
        <v>0</v>
      </c>
      <c r="E22">
        <v>0</v>
      </c>
      <c r="F22">
        <f ca="1">SIN(RADIANS(B22))*C22</f>
        <v>7.7651363899621071</v>
      </c>
      <c r="G22">
        <f ca="1">COS(RADIANS(B22))*C22</f>
        <v>-3.4572614661443022</v>
      </c>
    </row>
    <row r="23" spans="1:7" x14ac:dyDescent="0.25">
      <c r="A23" s="9" t="s">
        <v>9</v>
      </c>
      <c r="B23" s="5">
        <f ca="1">B21</f>
        <v>9.5</v>
      </c>
      <c r="C23" s="3">
        <v>5</v>
      </c>
      <c r="D23" s="3">
        <v>0</v>
      </c>
      <c r="E23" s="3">
        <v>0</v>
      </c>
      <c r="F23" s="3">
        <f ca="1">SIN(RADIANS(B23))*C23</f>
        <v>0.8252380293033883</v>
      </c>
      <c r="G23" s="3">
        <f ca="1">COS(RADIANS(B23))*C23</f>
        <v>4.931428007686157</v>
      </c>
    </row>
    <row r="24" spans="1:7" x14ac:dyDescent="0.25">
      <c r="A24" s="9" t="s">
        <v>10</v>
      </c>
      <c r="B24" s="5">
        <f ca="1">B22</f>
        <v>114</v>
      </c>
      <c r="C24" s="3">
        <v>8.5</v>
      </c>
      <c r="D24" s="3">
        <v>0</v>
      </c>
      <c r="E24" s="3">
        <v>0</v>
      </c>
      <c r="F24" s="3">
        <f ca="1">SIN(RADIANS(B24))*C24</f>
        <v>7.7651363899621071</v>
      </c>
      <c r="G24" s="3">
        <f ca="1">COS(RADIANS(B24))*C24</f>
        <v>-3.4572614661443022</v>
      </c>
    </row>
    <row r="25" spans="1:7" x14ac:dyDescent="0.25">
      <c r="A25" s="9" t="s">
        <v>11</v>
      </c>
      <c r="B25" s="5">
        <f ca="1">B24</f>
        <v>114</v>
      </c>
      <c r="C25" s="3">
        <v>1</v>
      </c>
      <c r="D25" s="3">
        <v>0</v>
      </c>
      <c r="E25" s="3">
        <v>0</v>
      </c>
      <c r="F25" s="3">
        <f ca="1">SIN(RADIANS(B25))*C25</f>
        <v>0.91354545764260087</v>
      </c>
      <c r="G25" s="3">
        <f ca="1">COS(RADIANS(B25))*C25</f>
        <v>-0.40673664307580026</v>
      </c>
    </row>
    <row r="40" spans="2:5" x14ac:dyDescent="0.25">
      <c r="E40" s="6"/>
    </row>
    <row r="42" spans="2:5" x14ac:dyDescent="0.25">
      <c r="B42" s="7"/>
      <c r="C42" s="4"/>
      <c r="D42" s="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weird formulas and such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Bohn</dc:creator>
  <cp:lastModifiedBy>Jared Bohn</cp:lastModifiedBy>
  <dcterms:created xsi:type="dcterms:W3CDTF">2025-08-06T17:14:27Z</dcterms:created>
  <dcterms:modified xsi:type="dcterms:W3CDTF">2025-08-06T17:19:53Z</dcterms:modified>
</cp:coreProperties>
</file>